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417" codeName="{3D1A710C-6663-3D7B-7F91-EC182F24A4BC}"/>
  <workbookPr codeName="ThisWorkbook"/>
  <mc:AlternateContent xmlns:mc="http://schemas.openxmlformats.org/markup-compatibility/2006">
    <mc:Choice Requires="x15">
      <x15ac:absPath xmlns:x15ac="http://schemas.microsoft.com/office/spreadsheetml/2010/11/ac" url="E:\Laboratory\計算ツール\DIC\"/>
    </mc:Choice>
  </mc:AlternateContent>
  <xr:revisionPtr revIDLastSave="0" documentId="13_ncr:1_{0E2E35F5-768A-47F2-B727-AE3FF331E014}" xr6:coauthVersionLast="36" xr6:coauthVersionMax="47" xr10:uidLastSave="{00000000-0000-0000-0000-000000000000}"/>
  <bookViews>
    <workbookView xWindow="-96" yWindow="-96" windowWidth="19392" windowHeight="11472" xr2:uid="{410716DD-F506-414C-A266-002E639A8344}"/>
  </bookViews>
  <sheets>
    <sheet name="Sheet1" sheetId="1" r:id="rId1"/>
  </sheets>
  <definedNames>
    <definedName name="_xleta.COS" hidden="1" xlm="1">#NAME?</definedName>
    <definedName name="_xleta.PI" hidden="1" xlm="1">#NAME?</definedName>
  </definedName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C5" i="1" l="1"/>
  <c r="C3" i="1"/>
  <c r="A5" i="1" s="1"/>
  <c r="A7" i="1" l="1"/>
  <c r="C7" i="1" s="1"/>
</calcChain>
</file>

<file path=xl/sharedStrings.xml><?xml version="1.0" encoding="utf-8"?>
<sst xmlns="http://schemas.openxmlformats.org/spreadsheetml/2006/main" count="10" uniqueCount="10">
  <si>
    <t>DICを斜めから撮ってしまった場合における変換用ツールです。やめましょう、こんなこと。</t>
    <rPh sb="4" eb="5">
      <t>ナナ</t>
    </rPh>
    <rPh sb="8" eb="9">
      <t>ト</t>
    </rPh>
    <rPh sb="15" eb="17">
      <t>バアイ</t>
    </rPh>
    <rPh sb="21" eb="23">
      <t>ヘンカン</t>
    </rPh>
    <rPh sb="23" eb="24">
      <t>ヨウ</t>
    </rPh>
    <phoneticPr fontId="1"/>
  </si>
  <si>
    <t>1pixelのmmの値</t>
    <rPh sb="10" eb="11">
      <t>アタイ</t>
    </rPh>
    <phoneticPr fontId="1"/>
  </si>
  <si>
    <t>何度で撮った？</t>
    <rPh sb="0" eb="2">
      <t>ナンド</t>
    </rPh>
    <rPh sb="3" eb="4">
      <t>ト</t>
    </rPh>
    <phoneticPr fontId="1"/>
  </si>
  <si>
    <t>代表pixel</t>
    <rPh sb="0" eb="2">
      <t>ダイヒョウ</t>
    </rPh>
    <phoneticPr fontId="1"/>
  </si>
  <si>
    <t>代表長さ</t>
    <rPh sb="0" eb="2">
      <t>ダイヒョウ</t>
    </rPh>
    <rPh sb="2" eb="3">
      <t>ナガ</t>
    </rPh>
    <phoneticPr fontId="1"/>
  </si>
  <si>
    <t>答え(1pixelあたりの長さ)</t>
    <rPh sb="0" eb="1">
      <t>コタ</t>
    </rPh>
    <rPh sb="13" eb="14">
      <t>ナガ</t>
    </rPh>
    <phoneticPr fontId="1"/>
  </si>
  <si>
    <t>答え(1pixelあたりの長さ)(変換後)</t>
    <rPh sb="0" eb="1">
      <t>コタ</t>
    </rPh>
    <rPh sb="13" eb="14">
      <t>ナガ</t>
    </rPh>
    <rPh sb="17" eb="20">
      <t>ヘンカンゴ</t>
    </rPh>
    <phoneticPr fontId="1"/>
  </si>
  <si>
    <t>1pixelのmmの値(変換後)</t>
    <rPh sb="12" eb="15">
      <t>ヘンカンゴ</t>
    </rPh>
    <phoneticPr fontId="1"/>
  </si>
  <si>
    <t>カラーバーの値</t>
    <rPh sb="6" eb="7">
      <t>アタイ</t>
    </rPh>
    <phoneticPr fontId="1"/>
  </si>
  <si>
    <t>答え(最終変位)</t>
    <rPh sb="0" eb="1">
      <t>コタ</t>
    </rPh>
    <rPh sb="3" eb="5">
      <t>サイシュウ</t>
    </rPh>
    <rPh sb="5" eb="7">
      <t>ヘンイ</t>
    </rPh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</si>
</sst>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>
      <alignment vertical="center"/>
    </xf>
  </cellStyleXfs>
  <cellXfs count="2">
    <xf numFmtId="0" fontId="0" fillId="0" borderId="0" xfId="0">
      <alignment vertical="center"/>
    </xf>
    <xf numFmtId="0" fontId="0" fillId="0" borderId="0" xfId="0" applyAlignment="1">
      <alignment horizontal="center" vertical="center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0</xdr:colOff>
      <xdr:row>0</xdr:row>
      <xdr:rowOff>223837</xdr:rowOff>
    </xdr:from>
    <xdr:to>
      <xdr:col>6</xdr:col>
      <xdr:colOff>0</xdr:colOff>
      <xdr:row>2</xdr:row>
      <xdr:rowOff>223837</xdr:rowOff>
    </xdr:to>
    <xdr:sp macro="[0]!値の削除" textlink="">
      <xdr:nvSpPr>
        <xdr:cNvPr id="2" name="正方形/長方形 1">
          <a:extLst>
            <a:ext uri="{FF2B5EF4-FFF2-40B4-BE49-F238E27FC236}">
              <a16:creationId xmlns:a16="http://schemas.microsoft.com/office/drawing/2014/main" id="{6780A6FD-513A-2972-5381-DB5AA15A7109}"/>
            </a:ext>
          </a:extLst>
        </xdr:cNvPr>
        <xdr:cNvSpPr/>
      </xdr:nvSpPr>
      <xdr:spPr>
        <a:xfrm>
          <a:off x="5681663" y="223837"/>
          <a:ext cx="1371600" cy="447675"/>
        </a:xfrm>
        <a:prstGeom prst="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100"/>
            <a:t>いつも通りのやつ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036C23D-D5EA-43F4-AD7D-51F26C57FB43}">
  <dimension ref="A1:C7"/>
  <sheetViews>
    <sheetView tabSelected="1" workbookViewId="0">
      <selection activeCell="B8" sqref="B8"/>
    </sheetView>
  </sheetViews>
  <sheetFormatPr defaultColWidth="9" defaultRowHeight="18" x14ac:dyDescent="0.45"/>
  <cols>
    <col min="1" max="1" width="21.8984375" style="1" bestFit="1" customWidth="1"/>
    <col min="2" max="2" width="13.8984375" style="1" bestFit="1" customWidth="1"/>
    <col min="3" max="3" width="29.69921875" style="1" bestFit="1" customWidth="1"/>
    <col min="4" max="16384" width="9" style="1"/>
  </cols>
  <sheetData>
    <row r="1" spans="1:3" customFormat="1" x14ac:dyDescent="0.45">
      <c r="A1" t="s">
        <v>0</v>
      </c>
    </row>
    <row r="2" spans="1:3" x14ac:dyDescent="0.45">
      <c r="A2" s="1" t="s">
        <v>3</v>
      </c>
      <c r="B2" s="1" t="s">
        <v>4</v>
      </c>
      <c r="C2" s="1" t="s">
        <v>5</v>
      </c>
    </row>
    <row r="3" spans="1:3" x14ac:dyDescent="0.45">
      <c r="A3" s="1">
        <v>972</v>
      </c>
      <c r="B3" s="1">
        <v>60</v>
      </c>
      <c r="C3" s="1">
        <f>IF(A3="","",B3/A3)</f>
        <v>6.1728395061728392E-2</v>
      </c>
    </row>
    <row r="4" spans="1:3" x14ac:dyDescent="0.45">
      <c r="A4" s="1" t="s">
        <v>1</v>
      </c>
      <c r="B4" s="1" t="s">
        <v>2</v>
      </c>
      <c r="C4" s="1" t="s">
        <v>6</v>
      </c>
    </row>
    <row r="5" spans="1:3" x14ac:dyDescent="0.45">
      <c r="A5" s="1">
        <f>C3</f>
        <v>6.1728395061728392E-2</v>
      </c>
      <c r="B5" s="1">
        <v>45</v>
      </c>
      <c r="C5" s="1">
        <f>IF(B5="","",A5/COS((90-B5)*PI()/180))</f>
        <v>8.7297133479820668E-2</v>
      </c>
    </row>
    <row r="6" spans="1:3" x14ac:dyDescent="0.45">
      <c r="A6" s="1" t="s">
        <v>7</v>
      </c>
      <c r="B6" s="1" t="s">
        <v>8</v>
      </c>
      <c r="C6" s="1" t="s">
        <v>9</v>
      </c>
    </row>
    <row r="7" spans="1:3" x14ac:dyDescent="0.45">
      <c r="A7" s="1">
        <f>C5</f>
        <v>8.7297133479820668E-2</v>
      </c>
      <c r="B7" s="1">
        <v>-13.93</v>
      </c>
      <c r="C7" s="1">
        <f>IF(B7="","",A7*B7)</f>
        <v>-1.2160490693739019</v>
      </c>
    </row>
  </sheetData>
  <phoneticPr fontId="1"/>
  <pageMargins left="0.7" right="0.7" top="0.75" bottom="0.75" header="0.3" footer="0.3"/>
  <pageSetup paperSize="9" orientation="portrait" horizontalDpi="300" verticalDpi="300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AKAZAWAKAZUKI</dc:creator>
  <cp:lastModifiedBy>Owner</cp:lastModifiedBy>
  <dcterms:created xsi:type="dcterms:W3CDTF">2025-07-15T07:48:30Z</dcterms:created>
  <dcterms:modified xsi:type="dcterms:W3CDTF">2025-07-22T07:11:09Z</dcterms:modified>
</cp:coreProperties>
</file>